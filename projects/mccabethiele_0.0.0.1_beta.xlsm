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hinav Mishra\Desktop\GitHub\abhibolega.github.io\projects\"/>
    </mc:Choice>
  </mc:AlternateContent>
  <workbookProtection workbookAlgorithmName="SHA-512" workbookHashValue="TrBihuXCALs7B1mHKEoRFvNaJUEAeRgJNsyV5u7ChztxE5N2ToF6p2uT047VrSXNULqXsb44JLNx5K/9b2iWIA==" workbookSaltValue="ZR3nBDQQOl2MDoFh+QhzYQ==" workbookSpinCount="100000" lockStructure="1"/>
  <bookViews>
    <workbookView xWindow="0" yWindow="0" windowWidth="20490" windowHeight="7755"/>
  </bookViews>
  <sheets>
    <sheet name="McCabe-Thiele Plot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2" l="1"/>
  <c r="R12" i="2"/>
  <c r="Q12" i="2"/>
  <c r="T11" i="2"/>
  <c r="S11" i="2"/>
  <c r="U7" i="2"/>
  <c r="S7" i="2"/>
  <c r="G6" i="2"/>
  <c r="G7" i="2" l="1"/>
  <c r="G10" i="2"/>
  <c r="T7" i="2" s="1"/>
  <c r="T8" i="2" l="1"/>
  <c r="V7" i="2"/>
  <c r="V8" i="2" l="1"/>
  <c r="S12" i="2"/>
  <c r="T12" i="2" l="1"/>
  <c r="T13" i="2" s="1"/>
  <c r="S13" i="2"/>
  <c r="U8" i="2"/>
  <c r="U9" i="2" s="1"/>
  <c r="S2" i="2"/>
  <c r="Q13" i="2" s="1"/>
  <c r="R13" i="2"/>
</calcChain>
</file>

<file path=xl/sharedStrings.xml><?xml version="1.0" encoding="utf-8"?>
<sst xmlns="http://schemas.openxmlformats.org/spreadsheetml/2006/main" count="23" uniqueCount="23">
  <si>
    <t>xb</t>
  </si>
  <si>
    <t>yb</t>
  </si>
  <si>
    <t>xD</t>
  </si>
  <si>
    <t>xW</t>
  </si>
  <si>
    <t>zF</t>
  </si>
  <si>
    <t>R</t>
  </si>
  <si>
    <t>y intercept</t>
  </si>
  <si>
    <t>y</t>
  </si>
  <si>
    <t>m</t>
  </si>
  <si>
    <t>x</t>
  </si>
  <si>
    <t>c</t>
  </si>
  <si>
    <t>Q</t>
  </si>
  <si>
    <t>Other Parameters</t>
  </si>
  <si>
    <t>Mol Fraction of Distillate</t>
  </si>
  <si>
    <t>Mol Fraction of Bottom</t>
  </si>
  <si>
    <t>Reflux Ratio</t>
  </si>
  <si>
    <t>Slope of Upper Operating Line</t>
  </si>
  <si>
    <t>Mol Fraction of Liquid in Feed</t>
  </si>
  <si>
    <t>Slope of Feed Line</t>
  </si>
  <si>
    <t>Q/(Q-1)</t>
  </si>
  <si>
    <t>R/(R+1)</t>
  </si>
  <si>
    <t>Feed Composition</t>
  </si>
  <si>
    <t>Version 0.0.0.1 (beta) © abhibolega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</si>
</sst>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4" borderId="0" xfId="0" applyFill="1" applyBorder="1"/>
    <xf numFmtId="0" fontId="0" fillId="4" borderId="0" xfId="0" applyFill="1" applyAlignment="1"/>
    <xf numFmtId="0" fontId="0" fillId="0" borderId="1" xfId="0" applyFill="1" applyBorder="1"/>
    <xf numFmtId="0" fontId="1" fillId="3" borderId="3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0" xfId="0" applyFill="1"/>
    <xf numFmtId="2" fontId="0" fillId="0" borderId="1" xfId="0" applyNumberFormat="1" applyBorder="1" applyAlignment="1">
      <alignment horizontal="center"/>
    </xf>
    <xf numFmtId="0" fontId="4" fillId="0" borderId="1" xfId="0" applyFont="1" applyBorder="1" applyProtection="1">
      <protection locked="0" hidden="1"/>
    </xf>
    <xf numFmtId="164" fontId="4" fillId="0" borderId="1" xfId="0" applyNumberFormat="1" applyFont="1" applyBorder="1" applyProtection="1">
      <protection hidden="1"/>
    </xf>
    <xf numFmtId="164" fontId="4" fillId="0" borderId="1" xfId="0" applyNumberFormat="1" applyFont="1" applyBorder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4" borderId="0" xfId="0" applyFill="1" applyProtection="1">
      <protection hidden="1"/>
    </xf>
    <xf numFmtId="2" fontId="0" fillId="0" borderId="0" xfId="0" applyNumberFormat="1" applyProtection="1">
      <protection hidden="1"/>
    </xf>
    <xf numFmtId="0" fontId="0" fillId="4" borderId="0" xfId="0" applyFill="1" applyAlignment="1" applyProtection="1">
      <protection hidden="1"/>
    </xf>
    <xf numFmtId="0" fontId="0" fillId="4" borderId="15" xfId="0" applyFill="1" applyBorder="1" applyAlignment="1"/>
    <xf numFmtId="0" fontId="0" fillId="4" borderId="0" xfId="0" applyFill="1" applyBorder="1" applyAlignment="1"/>
    <xf numFmtId="0" fontId="6" fillId="4" borderId="0" xfId="1" applyFont="1" applyFill="1" applyAlignment="1" applyProtection="1">
      <alignment horizontal="center"/>
      <protection hidden="1"/>
    </xf>
    <xf numFmtId="0" fontId="3" fillId="5" borderId="16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 vertical="top"/>
    </xf>
    <xf numFmtId="0" fontId="3" fillId="5" borderId="12" xfId="0" applyFont="1" applyFill="1" applyBorder="1" applyAlignment="1">
      <alignment horizontal="center" vertical="top"/>
    </xf>
    <xf numFmtId="0" fontId="3" fillId="5" borderId="13" xfId="0" applyFont="1" applyFill="1" applyBorder="1" applyAlignment="1">
      <alignment horizontal="center" vertical="top"/>
    </xf>
    <xf numFmtId="0" fontId="3" fillId="5" borderId="14" xfId="0" applyFont="1" applyFill="1" applyBorder="1" applyAlignment="1">
      <alignment horizontal="center" vertical="top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VLE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956750753092"/>
          <c:y val="9.2957705342290933E-2"/>
          <c:w val="0.84040211829962697"/>
          <c:h val="0.78992844883540159"/>
        </c:manualLayout>
      </c:layout>
      <c:scatterChart>
        <c:scatterStyle val="smoothMarker"/>
        <c:varyColors val="0"/>
        <c:ser>
          <c:idx val="0"/>
          <c:order val="0"/>
          <c:tx>
            <c:v>Equilibrium Line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'McCabe-Thiele Plot'!$K$1:$K$2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'McCabe-Thiele Plot'!$L$1:$L$2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VLE Data</c:v>
          </c:tx>
          <c:spPr>
            <a:ln w="1270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'McCabe-Thiele Plot'!$A$2:$A$1048</c:f>
              <c:numCache>
                <c:formatCode>General</c:formatCode>
                <c:ptCount val="39"/>
              </c:numCache>
            </c:numRef>
          </c:xVal>
          <c:yVal>
            <c:numRef>
              <c:f>'McCabe-Thiele Plot'!$B$2:$B$1048</c:f>
              <c:numCache>
                <c:formatCode>General</c:formatCode>
                <c:ptCount val="39"/>
              </c:numCache>
            </c:numRef>
          </c:yVal>
          <c:smooth val="1"/>
        </c:ser>
        <c:ser>
          <c:idx val="2"/>
          <c:order val="2"/>
          <c:tx>
            <c:v>xD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'McCabe-Thiele Plot'!$G$3</c:f>
              <c:numCache>
                <c:formatCode>General</c:formatCode>
                <c:ptCount val="1"/>
              </c:numCache>
            </c:numRef>
          </c:xVal>
          <c:yVal>
            <c:numRef>
              <c:f>'McCabe-Thiele Plot'!$G$3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3"/>
          <c:order val="3"/>
          <c:tx>
            <c:v>xW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'McCabe-Thiele Plot'!$G$4</c:f>
              <c:numCache>
                <c:formatCode>General</c:formatCode>
                <c:ptCount val="1"/>
              </c:numCache>
            </c:numRef>
          </c:xVal>
          <c:yVal>
            <c:numRef>
              <c:f>'McCabe-Thiele Plot'!$G$4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5"/>
          <c:order val="4"/>
          <c:tx>
            <c:v>y intercept from Reflux Ratio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'McCabe-Thiele Plot'!$G$7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6"/>
          <c:order val="5"/>
          <c:tx>
            <c:v>Upper Operating Line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FF0000"/>
                </a:solidFill>
                <a:prstDash val="solid"/>
                <a:round/>
              </a:ln>
              <a:effectLst/>
            </c:spPr>
          </c:dPt>
          <c:xVal>
            <c:numRef>
              <c:f>('McCabe-Thiele Plot'!$J$1,'McCabe-Thiele Plot'!$G$3)</c:f>
              <c:numCache>
                <c:formatCode>General</c:formatCode>
                <c:ptCount val="2"/>
                <c:pt idx="0">
                  <c:v>0</c:v>
                </c:pt>
              </c:numCache>
            </c:numRef>
          </c:xVal>
          <c:yVal>
            <c:numRef>
              <c:f>('McCabe-Thiele Plot'!$G$7,'McCabe-Thiele Plot'!$G$3)</c:f>
              <c:numCache>
                <c:formatCode>General</c:formatCode>
                <c:ptCount val="2"/>
                <c:pt idx="0" formatCode="0.000">
                  <c:v>0</c:v>
                </c:pt>
              </c:numCache>
            </c:numRef>
          </c:yVal>
          <c:smooth val="1"/>
        </c:ser>
        <c:ser>
          <c:idx val="7"/>
          <c:order val="6"/>
          <c:tx>
            <c:v>Lower Operating Line</c:v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'McCabe-Thiele Plot'!$S$11:$S$13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'McCabe-Thiele Plot'!$T$11:$T$13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</c:ser>
        <c:ser>
          <c:idx val="4"/>
          <c:order val="7"/>
          <c:tx>
            <c:v>test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6"/>
                </a:solidFill>
                <a:round/>
              </a:ln>
              <a:effectLst/>
            </c:spPr>
          </c:dPt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chemeClr val="accent6"/>
                </a:solidFill>
                <a:round/>
              </a:ln>
              <a:effectLst/>
            </c:spPr>
          </c:dPt>
          <c:xVal>
            <c:numRef>
              <c:f>'McCabe-Thiele Plot'!$Q$12:$Q$13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'McCabe-Thiele Plot'!$R$12:$R$13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446144"/>
        <c:axId val="390444968"/>
      </c:scatterChart>
      <c:valAx>
        <c:axId val="3904461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x</a:t>
                </a:r>
                <a:r>
                  <a:rPr lang="en-IN" sz="1600" baseline="-25000"/>
                  <a:t>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44968"/>
        <c:crosses val="autoZero"/>
        <c:crossBetween val="midCat"/>
        <c:majorUnit val="0.1"/>
      </c:valAx>
      <c:valAx>
        <c:axId val="3904449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y</a:t>
                </a:r>
                <a:r>
                  <a:rPr lang="en-IN" sz="1600" baseline="-25000"/>
                  <a:t>B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4486806333957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4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abhibolega.github.io" TargetMode="Externa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239182</xdr:colOff>
      <xdr:row>0</xdr:row>
      <xdr:rowOff>29633</xdr:rowOff>
    </xdr:from>
    <xdr:to>
      <xdr:col>16375</xdr:col>
      <xdr:colOff>228600</xdr:colOff>
      <xdr:row>26</xdr:row>
      <xdr:rowOff>188383</xdr:rowOff>
    </xdr:to>
    <xdr:sp macro="" textlink="">
      <xdr:nvSpPr>
        <xdr:cNvPr id="6" name="Rectangle 5"/>
        <xdr:cNvSpPr/>
      </xdr:nvSpPr>
      <xdr:spPr>
        <a:xfrm>
          <a:off x="5544607" y="29633"/>
          <a:ext cx="6504518" cy="522605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70906</xdr:colOff>
      <xdr:row>0</xdr:row>
      <xdr:rowOff>0</xdr:rowOff>
    </xdr:from>
    <xdr:to>
      <xdr:col>15</xdr:col>
      <xdr:colOff>190500</xdr:colOff>
      <xdr:row>25</xdr:row>
      <xdr:rowOff>84666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497416</xdr:colOff>
      <xdr:row>9</xdr:row>
      <xdr:rowOff>10584</xdr:rowOff>
    </xdr:from>
    <xdr:to>
      <xdr:col>7</xdr:col>
      <xdr:colOff>0</xdr:colOff>
      <xdr:row>30</xdr:row>
      <xdr:rowOff>127000</xdr:rowOff>
    </xdr:to>
    <xdr:sp macro="" textlink="">
      <xdr:nvSpPr>
        <xdr:cNvPr id="5" name="Rectangle 4"/>
        <xdr:cNvSpPr/>
      </xdr:nvSpPr>
      <xdr:spPr>
        <a:xfrm>
          <a:off x="1725083" y="1841501"/>
          <a:ext cx="3608917" cy="411691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52916</xdr:colOff>
      <xdr:row>0</xdr:row>
      <xdr:rowOff>306915</xdr:rowOff>
    </xdr:from>
    <xdr:to>
      <xdr:col>3</xdr:col>
      <xdr:colOff>169333</xdr:colOff>
      <xdr:row>23</xdr:row>
      <xdr:rowOff>190499</xdr:rowOff>
    </xdr:to>
    <xdr:sp macro="" textlink="">
      <xdr:nvSpPr>
        <xdr:cNvPr id="3" name="Right Brace 2"/>
        <xdr:cNvSpPr/>
      </xdr:nvSpPr>
      <xdr:spPr>
        <a:xfrm>
          <a:off x="1272116" y="306915"/>
          <a:ext cx="726017" cy="4379384"/>
        </a:xfrm>
        <a:prstGeom prst="rightBrace">
          <a:avLst>
            <a:gd name="adj1" fmla="val 8333"/>
            <a:gd name="adj2" fmla="val 79227"/>
          </a:avLst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285752</xdr:colOff>
      <xdr:row>18</xdr:row>
      <xdr:rowOff>31749</xdr:rowOff>
    </xdr:from>
    <xdr:to>
      <xdr:col>7</xdr:col>
      <xdr:colOff>10584</xdr:colOff>
      <xdr:row>20</xdr:row>
      <xdr:rowOff>42332</xdr:rowOff>
    </xdr:to>
    <xdr:sp macro="" textlink="">
      <xdr:nvSpPr>
        <xdr:cNvPr id="4" name="TextBox 3"/>
        <xdr:cNvSpPr txBox="1"/>
      </xdr:nvSpPr>
      <xdr:spPr>
        <a:xfrm>
          <a:off x="2114552" y="3575049"/>
          <a:ext cx="3201457" cy="391583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/>
            <a:t>Enter</a:t>
          </a:r>
          <a:r>
            <a:rPr lang="en-IN" sz="1600" baseline="0"/>
            <a:t> the VLE data here!!</a:t>
          </a:r>
          <a:endParaRPr lang="en-IN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9</xdr:row>
          <xdr:rowOff>9525</xdr:rowOff>
        </xdr:from>
        <xdr:to>
          <xdr:col>4</xdr:col>
          <xdr:colOff>981075</xdr:colOff>
          <xdr:row>11</xdr:row>
          <xdr:rowOff>19050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433917</xdr:colOff>
      <xdr:row>0</xdr:row>
      <xdr:rowOff>222250</xdr:rowOff>
    </xdr:from>
    <xdr:to>
      <xdr:col>18</xdr:col>
      <xdr:colOff>592667</xdr:colOff>
      <xdr:row>24</xdr:row>
      <xdr:rowOff>190499</xdr:rowOff>
    </xdr:to>
    <xdr:sp macro="" textlink="">
      <xdr:nvSpPr>
        <xdr:cNvPr id="7" name="TextBox 6"/>
        <xdr:cNvSpPr txBox="1"/>
      </xdr:nvSpPr>
      <xdr:spPr>
        <a:xfrm>
          <a:off x="10678584" y="222250"/>
          <a:ext cx="2254250" cy="4656666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>
              <a:solidFill>
                <a:schemeClr val="bg1"/>
              </a:solidFill>
            </a:rPr>
            <a:t>McCabe-Thiele Plot:</a:t>
          </a:r>
        </a:p>
        <a:p>
          <a:endParaRPr lang="en-IN" sz="1800" b="1">
            <a:solidFill>
              <a:schemeClr val="bg1"/>
            </a:solidFill>
          </a:endParaRPr>
        </a:p>
        <a:p>
          <a:r>
            <a:rPr lang="en-IN" sz="1400" b="0">
              <a:solidFill>
                <a:schemeClr val="bg1"/>
              </a:solidFill>
            </a:rPr>
            <a:t>This sheet plots the graph for all the values of "q" that ranges between 0 and 1.</a:t>
          </a:r>
        </a:p>
        <a:p>
          <a:endParaRPr lang="en-IN" sz="1400" b="0">
            <a:solidFill>
              <a:schemeClr val="bg1"/>
            </a:solidFill>
          </a:endParaRPr>
        </a:p>
        <a:p>
          <a:r>
            <a:rPr lang="en-IN" sz="1400" b="0">
              <a:solidFill>
                <a:schemeClr val="bg1"/>
              </a:solidFill>
            </a:rPr>
            <a:t>The support for</a:t>
          </a:r>
          <a:r>
            <a:rPr lang="en-IN" sz="1400" b="0" baseline="0">
              <a:solidFill>
                <a:schemeClr val="bg1"/>
              </a:solidFill>
            </a:rPr>
            <a:t> drawing graphs for "q&gt;1" is under process.</a:t>
          </a:r>
        </a:p>
        <a:p>
          <a:endParaRPr lang="en-IN" sz="1400" b="0" baseline="0">
            <a:solidFill>
              <a:schemeClr val="bg1"/>
            </a:solidFill>
          </a:endParaRPr>
        </a:p>
        <a:p>
          <a:r>
            <a:rPr lang="en-IN" sz="1400" b="0" baseline="0">
              <a:solidFill>
                <a:schemeClr val="bg1"/>
              </a:solidFill>
            </a:rPr>
            <a:t>The triangles have to be drawn manually, either use </a:t>
          </a:r>
          <a:r>
            <a:rPr lang="en-IN" sz="1400" b="1" baseline="0">
              <a:solidFill>
                <a:schemeClr val="bg1"/>
              </a:solidFill>
            </a:rPr>
            <a:t>paint, or lines (from Shapes in the Insert Tab) in Excel, or anything else.</a:t>
          </a:r>
        </a:p>
        <a:p>
          <a:endParaRPr lang="en-IN" sz="1400" b="1" baseline="0">
            <a:solidFill>
              <a:schemeClr val="bg1"/>
            </a:solidFill>
          </a:endParaRPr>
        </a:p>
        <a:p>
          <a:r>
            <a:rPr lang="en-IN" sz="1400" b="0" baseline="0">
              <a:solidFill>
                <a:schemeClr val="bg1"/>
              </a:solidFill>
            </a:rPr>
            <a:t>To update the Sheet for futute additions in the features, click on the </a:t>
          </a:r>
          <a:r>
            <a:rPr lang="en-IN" sz="1400" b="1" baseline="0">
              <a:solidFill>
                <a:schemeClr val="bg1"/>
              </a:solidFill>
            </a:rPr>
            <a:t>Check for Updates </a:t>
          </a:r>
          <a:r>
            <a:rPr lang="en-IN" sz="1400" b="0" baseline="0">
              <a:solidFill>
                <a:schemeClr val="bg1"/>
              </a:solidFill>
            </a:rPr>
            <a:t>button on the sheet.</a:t>
          </a:r>
        </a:p>
        <a:p>
          <a:endParaRPr lang="en-IN" sz="1400" b="1" baseline="0">
            <a:solidFill>
              <a:schemeClr val="bg1"/>
            </a:solidFill>
          </a:endParaRPr>
        </a:p>
        <a:p>
          <a:endParaRPr lang="en-IN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285752</xdr:colOff>
      <xdr:row>21</xdr:row>
      <xdr:rowOff>0</xdr:rowOff>
    </xdr:from>
    <xdr:to>
      <xdr:col>4</xdr:col>
      <xdr:colOff>984250</xdr:colOff>
      <xdr:row>23</xdr:row>
      <xdr:rowOff>0</xdr:rowOff>
    </xdr:to>
    <xdr:sp macro="" textlink="">
      <xdr:nvSpPr>
        <xdr:cNvPr id="8" name="Rounded Rectangle 7">
          <a:hlinkClick xmlns:r="http://schemas.openxmlformats.org/officeDocument/2006/relationships" r:id="rId2"/>
        </xdr:cNvPr>
        <xdr:cNvSpPr/>
      </xdr:nvSpPr>
      <xdr:spPr>
        <a:xfrm>
          <a:off x="2127252" y="4116917"/>
          <a:ext cx="1693331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Check for Updates</a:t>
          </a:r>
          <a:endParaRPr lang="en-IN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bhibolega.github.io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90"/>
  <sheetViews>
    <sheetView showGridLines="0" tabSelected="1" zoomScale="90" zoomScaleNormal="90" workbookViewId="0">
      <selection activeCell="B8" sqref="B8"/>
    </sheetView>
  </sheetViews>
  <sheetFormatPr defaultColWidth="0" defaultRowHeight="15" zeroHeight="1" x14ac:dyDescent="0.25"/>
  <cols>
    <col min="1" max="2" width="9.140625" style="1" customWidth="1"/>
    <col min="3" max="3" width="9.140625" style="15" customWidth="1"/>
    <col min="4" max="5" width="14.85546875" style="2" customWidth="1"/>
    <col min="6" max="6" width="10.5703125" style="6" bestFit="1" customWidth="1"/>
    <col min="7" max="7" width="11.85546875" style="6" customWidth="1"/>
    <col min="8" max="16" width="9.140625" style="12" customWidth="1"/>
    <col min="17" max="17" width="11.5703125" style="12" customWidth="1"/>
    <col min="18" max="18" width="11.7109375" style="12" customWidth="1"/>
    <col min="19" max="19" width="11.5703125" style="12" customWidth="1"/>
    <col min="20" max="20" width="5.28515625" style="12" customWidth="1"/>
    <col min="21" max="28" width="11.5703125" style="12" hidden="1" customWidth="1"/>
    <col min="29" max="16376" width="11.5703125" style="6" hidden="1" customWidth="1"/>
    <col min="16377" max="16377" width="8.28515625" style="6" hidden="1" customWidth="1"/>
    <col min="16378" max="16378" width="7.7109375" style="6" hidden="1" customWidth="1"/>
    <col min="16379" max="16379" width="4.7109375" style="6" hidden="1" customWidth="1"/>
    <col min="16380" max="16380" width="15.140625" style="6" hidden="1" customWidth="1"/>
    <col min="16381" max="16381" width="5.85546875" style="6" hidden="1" customWidth="1"/>
    <col min="16382" max="16382" width="12.5703125" style="6" hidden="1" customWidth="1"/>
    <col min="16383" max="16383" width="6.5703125" style="6" hidden="1" customWidth="1"/>
    <col min="16384" max="16384" width="6" style="6" hidden="1" customWidth="1"/>
  </cols>
  <sheetData>
    <row r="1" spans="1:26" ht="24" customHeight="1" x14ac:dyDescent="0.25">
      <c r="A1" s="5" t="s">
        <v>0</v>
      </c>
      <c r="B1" s="5" t="s">
        <v>1</v>
      </c>
      <c r="D1" s="20"/>
      <c r="E1" s="21"/>
      <c r="F1" s="22" t="s">
        <v>12</v>
      </c>
      <c r="G1" s="22"/>
      <c r="H1" s="11"/>
      <c r="I1" s="11"/>
      <c r="J1" s="11">
        <v>0</v>
      </c>
      <c r="K1" s="11">
        <v>1</v>
      </c>
      <c r="L1" s="11">
        <v>1</v>
      </c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25">
      <c r="A2" s="8"/>
      <c r="B2" s="8"/>
      <c r="D2" s="23" t="s">
        <v>21</v>
      </c>
      <c r="E2" s="24"/>
      <c r="F2" s="4" t="s">
        <v>4</v>
      </c>
      <c r="G2" s="8"/>
      <c r="H2" s="11"/>
      <c r="I2" s="11"/>
      <c r="J2" s="11"/>
      <c r="K2" s="11">
        <v>0</v>
      </c>
      <c r="L2" s="11">
        <v>0</v>
      </c>
      <c r="M2" s="11"/>
      <c r="N2" s="11"/>
      <c r="O2" s="11"/>
      <c r="P2" s="11"/>
      <c r="Q2" s="11"/>
      <c r="R2" s="11"/>
      <c r="S2" s="11" t="e">
        <f>V8/G12</f>
        <v>#DIV/0!</v>
      </c>
      <c r="T2" s="11"/>
      <c r="U2" s="11"/>
      <c r="V2" s="11"/>
      <c r="W2" s="11"/>
      <c r="X2" s="11"/>
      <c r="Y2" s="11"/>
      <c r="Z2" s="11"/>
    </row>
    <row r="3" spans="1:26" x14ac:dyDescent="0.25">
      <c r="A3" s="8"/>
      <c r="B3" s="8"/>
      <c r="D3" s="25" t="s">
        <v>13</v>
      </c>
      <c r="E3" s="26"/>
      <c r="F3" s="4" t="s">
        <v>2</v>
      </c>
      <c r="G3" s="8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8"/>
      <c r="B4" s="8"/>
      <c r="D4" s="25" t="s">
        <v>14</v>
      </c>
      <c r="E4" s="26"/>
      <c r="F4" s="4" t="s">
        <v>3</v>
      </c>
      <c r="G4" s="8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8"/>
      <c r="B5" s="8"/>
      <c r="D5" s="25" t="s">
        <v>15</v>
      </c>
      <c r="E5" s="26"/>
      <c r="F5" s="4" t="s">
        <v>5</v>
      </c>
      <c r="G5" s="8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25">
      <c r="A6" s="8"/>
      <c r="B6" s="8"/>
      <c r="D6" s="27" t="s">
        <v>16</v>
      </c>
      <c r="E6" s="28"/>
      <c r="F6" s="4" t="s">
        <v>20</v>
      </c>
      <c r="G6" s="9">
        <f>G5/(G5+1)</f>
        <v>0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 t="s">
        <v>7</v>
      </c>
      <c r="T6" s="11" t="s">
        <v>8</v>
      </c>
      <c r="U6" s="11" t="s">
        <v>9</v>
      </c>
      <c r="V6" s="11" t="s">
        <v>10</v>
      </c>
      <c r="W6" s="11"/>
      <c r="X6" s="11"/>
      <c r="Y6" s="11"/>
      <c r="Z6" s="11"/>
    </row>
    <row r="7" spans="1:26" x14ac:dyDescent="0.25">
      <c r="A7" s="8"/>
      <c r="B7" s="8"/>
      <c r="D7" s="29"/>
      <c r="E7" s="30"/>
      <c r="F7" s="4" t="s">
        <v>6</v>
      </c>
      <c r="G7" s="9">
        <f>G3*(1-G6)</f>
        <v>0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>
        <f>G2</f>
        <v>0</v>
      </c>
      <c r="T7" s="11">
        <f>G10/(G10-1)</f>
        <v>0</v>
      </c>
      <c r="U7" s="11">
        <f>G2</f>
        <v>0</v>
      </c>
      <c r="V7" s="11">
        <f>S7-(T7*U7)</f>
        <v>0</v>
      </c>
      <c r="W7" s="11"/>
      <c r="X7" s="11"/>
      <c r="Y7" s="11"/>
      <c r="Z7" s="11"/>
    </row>
    <row r="8" spans="1:26" x14ac:dyDescent="0.25">
      <c r="A8" s="8"/>
      <c r="B8" s="8"/>
      <c r="D8" s="25" t="s">
        <v>17</v>
      </c>
      <c r="E8" s="26"/>
      <c r="F8" s="4" t="s">
        <v>11</v>
      </c>
      <c r="G8" s="8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>
        <v>1</v>
      </c>
      <c r="T8" s="11">
        <f>T7</f>
        <v>0</v>
      </c>
      <c r="U8" s="13" t="e">
        <f>(S8-V8)/T8</f>
        <v>#DIV/0!</v>
      </c>
      <c r="V8" s="11">
        <f>V7</f>
        <v>0</v>
      </c>
      <c r="W8" s="11"/>
      <c r="X8" s="11"/>
      <c r="Y8" s="11"/>
      <c r="Z8" s="11"/>
    </row>
    <row r="9" spans="1:26" x14ac:dyDescent="0.25">
      <c r="A9" s="8"/>
      <c r="B9" s="8"/>
      <c r="D9" s="31" t="s">
        <v>18</v>
      </c>
      <c r="E9" s="32"/>
      <c r="F9" s="4" t="s">
        <v>19</v>
      </c>
      <c r="G9" s="10">
        <f>IFERROR(G8/(G8-1),"∞")</f>
        <v>0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>
        <v>1</v>
      </c>
      <c r="T9" s="11"/>
      <c r="U9" s="11" t="e">
        <f>IF(U8&lt;0,0.1,U8)</f>
        <v>#DIV/0!</v>
      </c>
      <c r="V9" s="11"/>
      <c r="W9" s="11"/>
      <c r="X9" s="11"/>
      <c r="Y9" s="11"/>
      <c r="Z9" s="11"/>
    </row>
    <row r="10" spans="1:26" x14ac:dyDescent="0.25">
      <c r="A10" s="8"/>
      <c r="B10" s="8"/>
      <c r="C10" s="16"/>
      <c r="D10" s="18"/>
      <c r="E10" s="19"/>
      <c r="F10"/>
      <c r="G10" s="7">
        <f>IF(G8=1,0.999999999999999,G8)</f>
        <v>0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8"/>
      <c r="B11" s="8"/>
      <c r="F11"/>
      <c r="G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>
        <f>G4</f>
        <v>0</v>
      </c>
      <c r="T11" s="11">
        <f>G4</f>
        <v>0</v>
      </c>
      <c r="U11" s="11"/>
      <c r="V11" s="11"/>
      <c r="W11" s="11"/>
      <c r="X11" s="11"/>
      <c r="Y11" s="11"/>
      <c r="Z11" s="11"/>
    </row>
    <row r="12" spans="1:26" x14ac:dyDescent="0.25">
      <c r="A12" s="8"/>
      <c r="B12" s="8"/>
      <c r="F12"/>
      <c r="G12" s="3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11">
        <f>G2</f>
        <v>0</v>
      </c>
      <c r="R12" s="11">
        <f>G2</f>
        <v>0</v>
      </c>
      <c r="S12" s="11" t="e">
        <f>(V7-G7)/(G6-T7)</f>
        <v>#DIV/0!</v>
      </c>
      <c r="T12" s="11" t="e">
        <f>G6*S12+G7</f>
        <v>#DIV/0!</v>
      </c>
      <c r="U12" s="11"/>
      <c r="V12" s="11"/>
      <c r="W12" s="11"/>
      <c r="X12" s="11"/>
      <c r="Y12" s="11"/>
      <c r="Z12" s="11"/>
    </row>
    <row r="13" spans="1:26" x14ac:dyDescent="0.25">
      <c r="A13" s="8"/>
      <c r="B13" s="8"/>
      <c r="F13"/>
      <c r="G13"/>
      <c r="H13" s="11"/>
      <c r="I13" s="11"/>
      <c r="J13" s="11"/>
      <c r="K13" s="11"/>
      <c r="L13" s="11"/>
      <c r="M13" s="11"/>
      <c r="N13" s="11"/>
      <c r="O13" s="11"/>
      <c r="P13" s="11"/>
      <c r="Q13" s="11" t="e">
        <f>S2</f>
        <v>#DIV/0!</v>
      </c>
      <c r="R13" s="11">
        <f>V8</f>
        <v>0</v>
      </c>
      <c r="S13" s="11" t="e">
        <f>1.2*S12</f>
        <v>#DIV/0!</v>
      </c>
      <c r="T13" s="11" t="e">
        <f>1.2*T12</f>
        <v>#DIV/0!</v>
      </c>
      <c r="U13" s="11"/>
      <c r="V13" s="11"/>
      <c r="W13" s="11"/>
      <c r="X13" s="11"/>
      <c r="Y13" s="11"/>
      <c r="Z13" s="11"/>
    </row>
    <row r="14" spans="1:26" x14ac:dyDescent="0.25">
      <c r="A14" s="8"/>
      <c r="B14" s="8"/>
      <c r="F14"/>
      <c r="G14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25">
      <c r="A15" s="8"/>
      <c r="B15" s="8"/>
      <c r="F15"/>
      <c r="G15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5">
      <c r="A16" s="8"/>
      <c r="B16" s="8"/>
      <c r="F16"/>
      <c r="G1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8" s="2" customFormat="1" x14ac:dyDescent="0.25">
      <c r="A17" s="8"/>
      <c r="B17" s="8"/>
      <c r="C17" s="15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</row>
    <row r="18" spans="1:28" s="2" customFormat="1" x14ac:dyDescent="0.25">
      <c r="A18" s="8"/>
      <c r="B18" s="8"/>
      <c r="C18" s="15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</row>
    <row r="19" spans="1:28" s="2" customFormat="1" x14ac:dyDescent="0.25">
      <c r="A19" s="8"/>
      <c r="B19" s="8"/>
      <c r="C19" s="15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0" spans="1:28" s="2" customFormat="1" x14ac:dyDescent="0.25">
      <c r="A20" s="8"/>
      <c r="B20" s="8"/>
      <c r="C20" s="15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</row>
    <row r="21" spans="1:28" s="2" customFormat="1" x14ac:dyDescent="0.25">
      <c r="A21" s="8"/>
      <c r="B21" s="8"/>
      <c r="C21" s="15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</row>
    <row r="22" spans="1:28" s="2" customFormat="1" x14ac:dyDescent="0.25">
      <c r="A22" s="8"/>
      <c r="B22" s="8"/>
      <c r="C22" s="15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</row>
    <row r="23" spans="1:28" s="2" customFormat="1" x14ac:dyDescent="0.25">
      <c r="A23" s="8"/>
      <c r="B23" s="8"/>
      <c r="C23" s="15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</row>
    <row r="24" spans="1:28" s="2" customFormat="1" x14ac:dyDescent="0.25">
      <c r="A24" s="8"/>
      <c r="B24" s="8"/>
      <c r="C24" s="15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</row>
    <row r="25" spans="1:28" s="2" customFormat="1" x14ac:dyDescent="0.25">
      <c r="A25" s="8"/>
      <c r="B25" s="8"/>
      <c r="C25" s="15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</row>
    <row r="26" spans="1:28" s="2" customFormat="1" x14ac:dyDescent="0.25">
      <c r="A26" s="8"/>
      <c r="B26" s="8"/>
      <c r="C26" s="15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</row>
    <row r="27" spans="1:28" s="2" customFormat="1" x14ac:dyDescent="0.25">
      <c r="A27" s="8"/>
      <c r="B27" s="8"/>
      <c r="C27" s="15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</row>
    <row r="28" spans="1:28" s="2" customFormat="1" x14ac:dyDescent="0.25">
      <c r="A28" s="8"/>
      <c r="B28" s="8"/>
      <c r="C28" s="15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</row>
    <row r="29" spans="1:28" s="2" customFormat="1" x14ac:dyDescent="0.25">
      <c r="A29" s="8"/>
      <c r="B29" s="8"/>
      <c r="C29" s="15"/>
      <c r="H29" s="14"/>
      <c r="I29" s="14"/>
      <c r="J29" s="14"/>
      <c r="K29" s="14"/>
      <c r="L29" s="14"/>
      <c r="M29" s="17" t="s">
        <v>22</v>
      </c>
      <c r="N29" s="17"/>
      <c r="O29" s="17"/>
      <c r="P29" s="17"/>
      <c r="Q29" s="17"/>
      <c r="R29" s="17"/>
      <c r="S29" s="14"/>
      <c r="T29" s="14"/>
      <c r="U29" s="14"/>
      <c r="V29" s="14"/>
      <c r="W29" s="14"/>
      <c r="X29" s="14"/>
      <c r="Y29" s="14"/>
      <c r="Z29" s="14"/>
      <c r="AA29" s="14"/>
      <c r="AB29" s="14"/>
    </row>
    <row r="30" spans="1:28" s="2" customFormat="1" x14ac:dyDescent="0.25">
      <c r="A30" s="8"/>
      <c r="B30" s="8"/>
      <c r="C30" s="15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</row>
    <row r="31" spans="1:28" s="2" customFormat="1" x14ac:dyDescent="0.25">
      <c r="A31" s="8"/>
      <c r="B31" s="8"/>
      <c r="C31" s="15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</row>
    <row r="32" spans="1:28" s="2" customFormat="1" x14ac:dyDescent="0.25">
      <c r="A32" s="8"/>
      <c r="B32" s="8"/>
      <c r="C32" s="15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</row>
    <row r="33" spans="1:28" s="2" customFormat="1" x14ac:dyDescent="0.25">
      <c r="A33" s="8"/>
      <c r="B33" s="8"/>
      <c r="C33" s="15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</row>
    <row r="34" spans="1:28" s="2" customFormat="1" x14ac:dyDescent="0.25">
      <c r="A34" s="8"/>
      <c r="B34" s="8"/>
      <c r="C34" s="15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</row>
    <row r="35" spans="1:28" s="2" customFormat="1" x14ac:dyDescent="0.25">
      <c r="A35" s="8"/>
      <c r="B35" s="8"/>
      <c r="C35" s="15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</row>
    <row r="36" spans="1:28" s="2" customFormat="1" x14ac:dyDescent="0.25">
      <c r="A36" s="8"/>
      <c r="B36" s="8"/>
      <c r="C36" s="15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</row>
    <row r="37" spans="1:28" s="2" customFormat="1" x14ac:dyDescent="0.25">
      <c r="A37" s="8"/>
      <c r="B37" s="8"/>
      <c r="C37" s="15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</row>
    <row r="38" spans="1:28" s="2" customFormat="1" x14ac:dyDescent="0.25">
      <c r="A38" s="8"/>
      <c r="B38" s="8"/>
      <c r="C38" s="15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</row>
    <row r="39" spans="1:28" s="2" customFormat="1" x14ac:dyDescent="0.25">
      <c r="A39" s="8"/>
      <c r="B39" s="8"/>
      <c r="C39" s="15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</row>
    <row r="40" spans="1:28" s="2" customFormat="1" x14ac:dyDescent="0.25">
      <c r="A40" s="8"/>
      <c r="B40" s="8"/>
      <c r="C40" s="15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</row>
    <row r="41" spans="1:28" s="2" customFormat="1" hidden="1" x14ac:dyDescent="0.25">
      <c r="A41" s="8"/>
      <c r="B41" s="8"/>
      <c r="C41" s="15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</row>
    <row r="42" spans="1:28" s="2" customFormat="1" hidden="1" x14ac:dyDescent="0.25">
      <c r="A42" s="8"/>
      <c r="B42" s="8"/>
      <c r="C42" s="15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</row>
    <row r="43" spans="1:28" s="2" customFormat="1" hidden="1" x14ac:dyDescent="0.25">
      <c r="A43" s="8"/>
      <c r="B43" s="8"/>
      <c r="C43" s="15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</row>
    <row r="44" spans="1:28" s="2" customFormat="1" hidden="1" x14ac:dyDescent="0.25">
      <c r="A44" s="8"/>
      <c r="B44" s="8"/>
      <c r="C44" s="15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</row>
    <row r="45" spans="1:28" s="2" customFormat="1" hidden="1" x14ac:dyDescent="0.25">
      <c r="A45" s="8"/>
      <c r="B45" s="8"/>
      <c r="C45" s="15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</row>
    <row r="46" spans="1:28" s="2" customFormat="1" hidden="1" x14ac:dyDescent="0.25">
      <c r="A46" s="8"/>
      <c r="B46" s="8"/>
      <c r="C46" s="15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</row>
    <row r="47" spans="1:28" s="2" customFormat="1" hidden="1" x14ac:dyDescent="0.25">
      <c r="A47" s="8"/>
      <c r="B47" s="8"/>
      <c r="C47" s="15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</row>
    <row r="48" spans="1:28" s="2" customFormat="1" hidden="1" x14ac:dyDescent="0.25">
      <c r="A48" s="8"/>
      <c r="B48" s="8"/>
      <c r="C48" s="15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</row>
    <row r="49" spans="1:28" s="2" customFormat="1" hidden="1" x14ac:dyDescent="0.25">
      <c r="A49" s="8"/>
      <c r="B49" s="8"/>
      <c r="C49" s="15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</row>
    <row r="50" spans="1:28" s="2" customFormat="1" hidden="1" x14ac:dyDescent="0.25">
      <c r="A50" s="8"/>
      <c r="B50" s="8"/>
      <c r="C50" s="15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</row>
    <row r="51" spans="1:28" s="2" customFormat="1" hidden="1" x14ac:dyDescent="0.25">
      <c r="A51" s="8"/>
      <c r="B51" s="8"/>
      <c r="C51" s="15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</row>
    <row r="52" spans="1:28" s="2" customFormat="1" hidden="1" x14ac:dyDescent="0.25">
      <c r="A52" s="8"/>
      <c r="B52" s="8"/>
      <c r="C52" s="15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</row>
    <row r="53" spans="1:28" s="2" customFormat="1" hidden="1" x14ac:dyDescent="0.25">
      <c r="A53" s="8"/>
      <c r="B53" s="8"/>
      <c r="C53" s="15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</row>
    <row r="54" spans="1:28" s="2" customFormat="1" hidden="1" x14ac:dyDescent="0.25">
      <c r="A54" s="8"/>
      <c r="B54" s="8"/>
      <c r="C54" s="15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</row>
    <row r="55" spans="1:28" s="2" customFormat="1" hidden="1" x14ac:dyDescent="0.25">
      <c r="A55" s="8"/>
      <c r="B55" s="8"/>
      <c r="C55" s="15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</row>
    <row r="56" spans="1:28" s="2" customFormat="1" hidden="1" x14ac:dyDescent="0.25">
      <c r="A56" s="8"/>
      <c r="B56" s="8"/>
      <c r="C56" s="15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</row>
    <row r="57" spans="1:28" s="2" customFormat="1" hidden="1" x14ac:dyDescent="0.25">
      <c r="A57" s="8"/>
      <c r="B57" s="8"/>
      <c r="C57" s="15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</row>
    <row r="58" spans="1:28" s="2" customFormat="1" hidden="1" x14ac:dyDescent="0.25">
      <c r="A58" s="8"/>
      <c r="B58" s="8"/>
      <c r="C58" s="15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</row>
    <row r="59" spans="1:28" s="2" customFormat="1" hidden="1" x14ac:dyDescent="0.25">
      <c r="A59" s="8"/>
      <c r="B59" s="8"/>
      <c r="C59" s="15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</row>
    <row r="60" spans="1:28" s="2" customFormat="1" hidden="1" x14ac:dyDescent="0.25">
      <c r="A60" s="8"/>
      <c r="B60" s="8"/>
      <c r="C60" s="15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</row>
    <row r="61" spans="1:28" s="2" customFormat="1" hidden="1" x14ac:dyDescent="0.25">
      <c r="A61" s="8"/>
      <c r="B61" s="8"/>
      <c r="C61" s="15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</row>
    <row r="62" spans="1:28" s="2" customFormat="1" hidden="1" x14ac:dyDescent="0.25">
      <c r="A62" s="8"/>
      <c r="B62" s="8"/>
      <c r="C62" s="15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</row>
    <row r="63" spans="1:28" s="2" customFormat="1" hidden="1" x14ac:dyDescent="0.25">
      <c r="A63" s="8"/>
      <c r="B63" s="8"/>
      <c r="C63" s="15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</row>
    <row r="64" spans="1:28" s="2" customFormat="1" hidden="1" x14ac:dyDescent="0.25">
      <c r="A64" s="8"/>
      <c r="B64" s="8"/>
      <c r="C64" s="15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</row>
    <row r="65" spans="1:28" s="2" customFormat="1" hidden="1" x14ac:dyDescent="0.25">
      <c r="A65" s="8"/>
      <c r="B65" s="8"/>
      <c r="C65" s="15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</row>
    <row r="66" spans="1:28" s="2" customFormat="1" hidden="1" x14ac:dyDescent="0.25">
      <c r="A66" s="8"/>
      <c r="B66" s="8"/>
      <c r="C66" s="15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</row>
    <row r="67" spans="1:28" s="2" customFormat="1" hidden="1" x14ac:dyDescent="0.25">
      <c r="A67" s="8"/>
      <c r="B67" s="8"/>
      <c r="C67" s="15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</row>
    <row r="68" spans="1:28" s="2" customFormat="1" hidden="1" x14ac:dyDescent="0.25">
      <c r="A68" s="8"/>
      <c r="B68" s="8"/>
      <c r="C68" s="15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</row>
    <row r="69" spans="1:28" s="2" customFormat="1" hidden="1" x14ac:dyDescent="0.25">
      <c r="A69" s="8"/>
      <c r="B69" s="8"/>
      <c r="C69" s="15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</row>
    <row r="70" spans="1:28" s="2" customFormat="1" hidden="1" x14ac:dyDescent="0.25">
      <c r="A70" s="8"/>
      <c r="B70" s="8"/>
      <c r="C70" s="15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</row>
    <row r="71" spans="1:28" s="2" customFormat="1" hidden="1" x14ac:dyDescent="0.25">
      <c r="A71" s="8"/>
      <c r="B71" s="8"/>
      <c r="C71" s="15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</row>
    <row r="72" spans="1:28" s="2" customFormat="1" hidden="1" x14ac:dyDescent="0.25">
      <c r="A72" s="8"/>
      <c r="B72" s="8"/>
      <c r="C72" s="15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</row>
    <row r="73" spans="1:28" s="2" customFormat="1" hidden="1" x14ac:dyDescent="0.25">
      <c r="A73" s="8"/>
      <c r="B73" s="8"/>
      <c r="C73" s="15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</row>
    <row r="74" spans="1:28" s="2" customFormat="1" hidden="1" x14ac:dyDescent="0.25">
      <c r="A74" s="8"/>
      <c r="B74" s="8"/>
      <c r="C74" s="15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</row>
    <row r="75" spans="1:28" s="2" customFormat="1" hidden="1" x14ac:dyDescent="0.25">
      <c r="A75" s="8"/>
      <c r="B75" s="8"/>
      <c r="C75" s="15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</row>
    <row r="76" spans="1:28" s="2" customFormat="1" hidden="1" x14ac:dyDescent="0.25">
      <c r="A76" s="8"/>
      <c r="B76" s="8"/>
      <c r="C76" s="15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</row>
    <row r="77" spans="1:28" s="2" customFormat="1" hidden="1" x14ac:dyDescent="0.25">
      <c r="A77" s="8"/>
      <c r="B77" s="8"/>
      <c r="C77" s="15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</row>
    <row r="78" spans="1:28" s="2" customFormat="1" hidden="1" x14ac:dyDescent="0.25">
      <c r="A78" s="8"/>
      <c r="B78" s="8"/>
      <c r="C78" s="15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</row>
    <row r="79" spans="1:28" s="2" customFormat="1" hidden="1" x14ac:dyDescent="0.25">
      <c r="A79" s="8"/>
      <c r="B79" s="8"/>
      <c r="C79" s="15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</row>
    <row r="80" spans="1:28" s="2" customFormat="1" hidden="1" x14ac:dyDescent="0.25">
      <c r="A80" s="8"/>
      <c r="B80" s="8"/>
      <c r="C80" s="15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</row>
    <row r="81" spans="1:28" s="2" customFormat="1" hidden="1" x14ac:dyDescent="0.25">
      <c r="A81" s="8"/>
      <c r="B81" s="8"/>
      <c r="C81" s="15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</row>
    <row r="82" spans="1:28" s="2" customFormat="1" hidden="1" x14ac:dyDescent="0.25">
      <c r="A82" s="8"/>
      <c r="B82" s="8"/>
      <c r="C82" s="15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</row>
    <row r="83" spans="1:28" s="2" customFormat="1" hidden="1" x14ac:dyDescent="0.25">
      <c r="A83" s="8"/>
      <c r="B83" s="8"/>
      <c r="C83" s="15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</row>
    <row r="84" spans="1:28" s="2" customFormat="1" hidden="1" x14ac:dyDescent="0.25">
      <c r="A84" s="8"/>
      <c r="B84" s="8"/>
      <c r="C84" s="15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</row>
    <row r="85" spans="1:28" s="2" customFormat="1" hidden="1" x14ac:dyDescent="0.25">
      <c r="A85" s="8"/>
      <c r="B85" s="8"/>
      <c r="C85" s="15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</row>
    <row r="86" spans="1:28" s="2" customFormat="1" hidden="1" x14ac:dyDescent="0.25">
      <c r="A86" s="8"/>
      <c r="B86" s="8"/>
      <c r="C86" s="15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</row>
    <row r="87" spans="1:28" s="2" customFormat="1" hidden="1" x14ac:dyDescent="0.25">
      <c r="A87" s="8"/>
      <c r="B87" s="8"/>
      <c r="C87" s="15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</row>
    <row r="88" spans="1:28" s="2" customFormat="1" hidden="1" x14ac:dyDescent="0.25">
      <c r="A88" s="8"/>
      <c r="B88" s="8"/>
      <c r="C88" s="15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</row>
    <row r="89" spans="1:28" s="2" customFormat="1" hidden="1" x14ac:dyDescent="0.25">
      <c r="A89" s="8"/>
      <c r="B89" s="8"/>
      <c r="C89" s="15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</row>
    <row r="90" spans="1:28" s="2" customFormat="1" hidden="1" x14ac:dyDescent="0.25">
      <c r="A90" s="8"/>
      <c r="B90" s="8"/>
      <c r="C90" s="15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</row>
  </sheetData>
  <sheetProtection algorithmName="SHA-512" hashValue="rxlIAemhhakgUZCGF2j2DXE5wxsq+uH4A7XFF3Hg9pFtCt1ZZz6ln2ciqf3TcoXyyStYtYBt0ohvby1dEphECw==" saltValue="qdqZJFggjOsr39+NYYQSjw==" spinCount="100000" sheet="1" objects="1" scenarios="1" selectLockedCells="1"/>
  <mergeCells count="11">
    <mergeCell ref="M29:R29"/>
    <mergeCell ref="D10:E10"/>
    <mergeCell ref="D1:E1"/>
    <mergeCell ref="F1:G1"/>
    <mergeCell ref="D2:E2"/>
    <mergeCell ref="D3:E3"/>
    <mergeCell ref="D4:E4"/>
    <mergeCell ref="D5:E5"/>
    <mergeCell ref="D6:E7"/>
    <mergeCell ref="D8:E8"/>
    <mergeCell ref="D9:E9"/>
  </mergeCells>
  <hyperlinks>
    <hyperlink ref="M29:R29" r:id="rId1" display="Version 0.0.0.1 (beta) © abhibolega"/>
  </hyperlinks>
  <pageMargins left="0.7" right="0.7" top="0.75" bottom="0.75" header="0.3" footer="0.3"/>
  <pageSetup paperSize="9" orientation="portrait" r:id="rId2"/>
  <ignoredErrors>
    <ignoredError sqref="S2 Q13" evalError="1"/>
  </ignoredErrors>
  <drawing r:id="rId3"/>
  <legacyDrawing r:id="rId4"/>
  <controls>
    <mc:AlternateContent xmlns:mc="http://schemas.openxmlformats.org/markup-compatibility/2006">
      <mc:Choice Requires="x14">
        <control shapeId="2059" r:id="rId5" name="CommandButton1">
          <controlPr defaultSize="0" autoLine="0" r:id="rId6">
            <anchor moveWithCells="1">
              <from>
                <xdr:col>2</xdr:col>
                <xdr:colOff>600075</xdr:colOff>
                <xdr:row>9</xdr:row>
                <xdr:rowOff>9525</xdr:rowOff>
              </from>
              <to>
                <xdr:col>4</xdr:col>
                <xdr:colOff>981075</xdr:colOff>
                <xdr:row>11</xdr:row>
                <xdr:rowOff>19050</xdr:rowOff>
              </to>
            </anchor>
          </controlPr>
        </control>
      </mc:Choice>
      <mc:Fallback>
        <control shapeId="2059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McCabe-Thiele 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Mishra</dc:creator>
  <cp:lastModifiedBy>Abhinav Mishra</cp:lastModifiedBy>
  <dcterms:created xsi:type="dcterms:W3CDTF">2020-04-25T07:49:00Z</dcterms:created>
  <dcterms:modified xsi:type="dcterms:W3CDTF">2020-04-29T03:01:37Z</dcterms:modified>
</cp:coreProperties>
</file>